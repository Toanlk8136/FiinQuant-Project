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PycharmProjects\FiinQuant Project\"/>
    </mc:Choice>
  </mc:AlternateContent>
  <xr:revisionPtr revIDLastSave="0" documentId="13_ncr:1_{925F4E7B-7276-4EA3-97C6-197B052AD42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tail" sheetId="1" r:id="rId1"/>
    <sheet name="Summary" sheetId="2" r:id="rId2"/>
  </sheets>
  <definedNames>
    <definedName name="_xlnm._FilterDatabase" localSheetId="0" hidden="1">Detail!$A$1:$H$13</definedName>
  </definedNames>
  <calcPr calcId="181029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2" i="1"/>
</calcChain>
</file>

<file path=xl/sharedStrings.xml><?xml version="1.0" encoding="utf-8"?>
<sst xmlns="http://schemas.openxmlformats.org/spreadsheetml/2006/main" count="34" uniqueCount="21">
  <si>
    <t>ticker</t>
  </si>
  <si>
    <t>date</t>
  </si>
  <si>
    <t>close</t>
  </si>
  <si>
    <t>volume</t>
  </si>
  <si>
    <t>value</t>
  </si>
  <si>
    <t>BU</t>
  </si>
  <si>
    <t>SD</t>
  </si>
  <si>
    <t>GAS</t>
  </si>
  <si>
    <t>VHM</t>
  </si>
  <si>
    <t>GVR</t>
  </si>
  <si>
    <t>VRE</t>
  </si>
  <si>
    <t>BCM</t>
  </si>
  <si>
    <t>PLX</t>
  </si>
  <si>
    <t>VCB</t>
  </si>
  <si>
    <t>BID</t>
  </si>
  <si>
    <t>ceiling_days</t>
  </si>
  <si>
    <t>total_BU</t>
  </si>
  <si>
    <t>total_SD</t>
  </si>
  <si>
    <t>total_value</t>
  </si>
  <si>
    <t>BU_ratio</t>
  </si>
  <si>
    <t>BU/SD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</si>
</sst>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H5" sqref="H5"/>
    </sheetView>
  </sheetViews>
  <sheetFormatPr defaultRowHeight="14.4" x14ac:dyDescent="0.3"/>
  <cols>
    <col min="2" max="2" width="18.109375" bestFit="1" customWidth="1"/>
    <col min="3" max="3" width="9.5546875" bestFit="1" customWidth="1"/>
    <col min="4" max="4" width="11.5546875" bestFit="1" customWidth="1"/>
    <col min="5" max="5" width="16.77734375" style="4" bestFit="1" customWidth="1"/>
    <col min="6" max="7" width="11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6" t="s">
        <v>20</v>
      </c>
    </row>
    <row r="2" spans="1:8" x14ac:dyDescent="0.3">
      <c r="A2" t="s">
        <v>7</v>
      </c>
      <c r="B2" s="2">
        <v>46027</v>
      </c>
      <c r="C2" s="5">
        <v>77400</v>
      </c>
      <c r="D2" s="5">
        <v>5364200</v>
      </c>
      <c r="E2" s="5">
        <v>410505390000</v>
      </c>
      <c r="F2" s="5">
        <v>1747500</v>
      </c>
      <c r="G2" s="5">
        <v>3501700</v>
      </c>
      <c r="H2">
        <f>F2/G2</f>
        <v>0.49904332181511835</v>
      </c>
    </row>
    <row r="3" spans="1:8" x14ac:dyDescent="0.3">
      <c r="A3" t="s">
        <v>8</v>
      </c>
      <c r="B3" s="2">
        <v>46027</v>
      </c>
      <c r="C3" s="5">
        <v>132600</v>
      </c>
      <c r="D3" s="5">
        <v>10136200</v>
      </c>
      <c r="E3" s="5">
        <v>1322865610000</v>
      </c>
      <c r="F3" s="5">
        <v>5098600</v>
      </c>
      <c r="G3" s="5">
        <v>4884600</v>
      </c>
      <c r="H3">
        <f t="shared" ref="H3:H13" si="0">F3/G3</f>
        <v>1.0438111616099579</v>
      </c>
    </row>
    <row r="4" spans="1:8" x14ac:dyDescent="0.3">
      <c r="A4" t="s">
        <v>7</v>
      </c>
      <c r="B4" s="2">
        <v>46028</v>
      </c>
      <c r="C4" s="5">
        <v>82800</v>
      </c>
      <c r="D4" s="5">
        <v>4730300</v>
      </c>
      <c r="E4" s="5">
        <v>385138600000</v>
      </c>
      <c r="F4" s="5">
        <v>3309800</v>
      </c>
      <c r="G4" s="5">
        <v>1369000</v>
      </c>
      <c r="H4">
        <f t="shared" si="0"/>
        <v>2.4176771365960557</v>
      </c>
    </row>
    <row r="5" spans="1:8" x14ac:dyDescent="0.3">
      <c r="A5" t="s">
        <v>9</v>
      </c>
      <c r="B5" s="2">
        <v>46028</v>
      </c>
      <c r="C5" s="5">
        <v>27550</v>
      </c>
      <c r="D5" s="5">
        <v>4061800</v>
      </c>
      <c r="E5" s="5">
        <v>110771920000</v>
      </c>
      <c r="F5" s="5">
        <v>1743400</v>
      </c>
      <c r="G5" s="5">
        <v>2315200</v>
      </c>
      <c r="H5">
        <f t="shared" si="0"/>
        <v>0.75302349689011749</v>
      </c>
    </row>
    <row r="6" spans="1:8" x14ac:dyDescent="0.3">
      <c r="A6" t="s">
        <v>8</v>
      </c>
      <c r="B6" s="2">
        <v>46028</v>
      </c>
      <c r="C6" s="5">
        <v>141800</v>
      </c>
      <c r="D6" s="5">
        <v>8459900</v>
      </c>
      <c r="E6" s="5">
        <v>1195929350000</v>
      </c>
      <c r="F6" s="5">
        <v>4141400</v>
      </c>
      <c r="G6" s="5">
        <v>4118200</v>
      </c>
      <c r="H6">
        <f t="shared" si="0"/>
        <v>1.0056335292117915</v>
      </c>
    </row>
    <row r="7" spans="1:8" x14ac:dyDescent="0.3">
      <c r="A7" t="s">
        <v>10</v>
      </c>
      <c r="B7" s="2">
        <v>46028</v>
      </c>
      <c r="C7" s="5">
        <v>38050</v>
      </c>
      <c r="D7" s="5">
        <v>21287500</v>
      </c>
      <c r="E7" s="5">
        <v>792077915000</v>
      </c>
      <c r="F7" s="5">
        <v>13318900</v>
      </c>
      <c r="G7" s="5">
        <v>7354300</v>
      </c>
      <c r="H7">
        <f t="shared" si="0"/>
        <v>1.8110357205988334</v>
      </c>
    </row>
    <row r="8" spans="1:8" x14ac:dyDescent="0.3">
      <c r="A8" t="s">
        <v>11</v>
      </c>
      <c r="B8" s="2">
        <v>46029</v>
      </c>
      <c r="C8" s="5">
        <v>68200</v>
      </c>
      <c r="D8" s="5">
        <v>2245200</v>
      </c>
      <c r="E8" s="5">
        <v>149524910000</v>
      </c>
      <c r="F8" s="5">
        <v>1134600</v>
      </c>
      <c r="G8" s="5">
        <v>1080600</v>
      </c>
      <c r="H8">
        <f t="shared" si="0"/>
        <v>1.0499722376457523</v>
      </c>
    </row>
    <row r="9" spans="1:8" x14ac:dyDescent="0.3">
      <c r="A9" t="s">
        <v>7</v>
      </c>
      <c r="B9" s="2">
        <v>46029</v>
      </c>
      <c r="C9" s="5">
        <v>88500</v>
      </c>
      <c r="D9" s="5">
        <v>4173200</v>
      </c>
      <c r="E9" s="5">
        <v>365961060000</v>
      </c>
      <c r="F9" s="5">
        <v>2422500</v>
      </c>
      <c r="G9" s="5">
        <v>1600600</v>
      </c>
      <c r="H9">
        <f t="shared" si="0"/>
        <v>1.5134949393977259</v>
      </c>
    </row>
    <row r="10" spans="1:8" x14ac:dyDescent="0.3">
      <c r="A10" t="s">
        <v>9</v>
      </c>
      <c r="B10" s="2">
        <v>46029</v>
      </c>
      <c r="C10" s="5">
        <v>29450</v>
      </c>
      <c r="D10" s="5">
        <v>13681500</v>
      </c>
      <c r="E10" s="5">
        <v>399163380000</v>
      </c>
      <c r="F10" s="5">
        <v>8792000</v>
      </c>
      <c r="G10" s="5">
        <v>4420400</v>
      </c>
      <c r="H10">
        <f t="shared" si="0"/>
        <v>1.9889602750882274</v>
      </c>
    </row>
    <row r="11" spans="1:8" x14ac:dyDescent="0.3">
      <c r="A11" t="s">
        <v>12</v>
      </c>
      <c r="B11" s="2">
        <v>46029</v>
      </c>
      <c r="C11" s="5">
        <v>41450</v>
      </c>
      <c r="D11" s="5">
        <v>15146400</v>
      </c>
      <c r="E11" s="5">
        <v>619026730000</v>
      </c>
      <c r="F11" s="5">
        <v>9297200</v>
      </c>
      <c r="G11" s="5">
        <v>5513700</v>
      </c>
      <c r="H11">
        <f t="shared" si="0"/>
        <v>1.6861998295155702</v>
      </c>
    </row>
    <row r="12" spans="1:8" x14ac:dyDescent="0.3">
      <c r="A12" t="s">
        <v>13</v>
      </c>
      <c r="B12" s="2">
        <v>46030</v>
      </c>
      <c r="C12" s="5">
        <v>63700</v>
      </c>
      <c r="D12" s="5">
        <v>27120300</v>
      </c>
      <c r="E12" s="5">
        <v>1698196810000</v>
      </c>
      <c r="F12" s="5">
        <v>13407200</v>
      </c>
      <c r="G12" s="5">
        <v>12859900</v>
      </c>
      <c r="H12">
        <f t="shared" si="0"/>
        <v>1.0425586513114411</v>
      </c>
    </row>
    <row r="13" spans="1:8" x14ac:dyDescent="0.3">
      <c r="A13" t="s">
        <v>14</v>
      </c>
      <c r="B13" s="2">
        <v>46031</v>
      </c>
      <c r="C13" s="5">
        <v>46050</v>
      </c>
      <c r="D13" s="5">
        <v>22918600</v>
      </c>
      <c r="E13" s="5">
        <v>1037019480000</v>
      </c>
      <c r="F13" s="5">
        <v>15931900</v>
      </c>
      <c r="G13" s="5">
        <v>6584300</v>
      </c>
      <c r="H13">
        <f t="shared" si="0"/>
        <v>2.4196801482313988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activeCell="D7" sqref="D7"/>
    </sheetView>
  </sheetViews>
  <sheetFormatPr defaultRowHeight="14.4" x14ac:dyDescent="0.3"/>
  <cols>
    <col min="2" max="2" width="11.21875" bestFit="1" customWidth="1"/>
    <col min="5" max="5" width="16.6640625" bestFit="1" customWidth="1"/>
    <col min="6" max="6" width="12" bestFit="1" customWidth="1"/>
  </cols>
  <sheetData>
    <row r="1" spans="1:6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x14ac:dyDescent="0.3">
      <c r="A2" t="s">
        <v>7</v>
      </c>
      <c r="B2">
        <v>3</v>
      </c>
      <c r="C2">
        <v>7479800</v>
      </c>
      <c r="D2">
        <v>6471300</v>
      </c>
      <c r="E2" s="5">
        <v>1161605050000</v>
      </c>
      <c r="F2">
        <v>0.53614410333235374</v>
      </c>
    </row>
    <row r="3" spans="1:6" x14ac:dyDescent="0.3">
      <c r="A3" t="s">
        <v>9</v>
      </c>
      <c r="B3">
        <v>2</v>
      </c>
      <c r="C3">
        <v>10535400</v>
      </c>
      <c r="D3">
        <v>6735600</v>
      </c>
      <c r="E3" s="5">
        <v>509935300000</v>
      </c>
      <c r="F3">
        <v>0.61000521104742056</v>
      </c>
    </row>
    <row r="4" spans="1:6" x14ac:dyDescent="0.3">
      <c r="A4" t="s">
        <v>8</v>
      </c>
      <c r="B4">
        <v>2</v>
      </c>
      <c r="C4">
        <v>9240000</v>
      </c>
      <c r="D4">
        <v>9002800</v>
      </c>
      <c r="E4" s="5">
        <v>2518794960000</v>
      </c>
      <c r="F4">
        <v>0.50650119499199686</v>
      </c>
    </row>
    <row r="5" spans="1:6" x14ac:dyDescent="0.3">
      <c r="A5" t="s">
        <v>14</v>
      </c>
      <c r="B5">
        <v>1</v>
      </c>
      <c r="C5">
        <v>15931900</v>
      </c>
      <c r="D5">
        <v>6584300</v>
      </c>
      <c r="E5" s="5">
        <v>1037019480000</v>
      </c>
      <c r="F5">
        <v>0.70757499045131944</v>
      </c>
    </row>
    <row r="6" spans="1:6" x14ac:dyDescent="0.3">
      <c r="A6" t="s">
        <v>10</v>
      </c>
      <c r="B6">
        <v>1</v>
      </c>
      <c r="C6">
        <v>13318900</v>
      </c>
      <c r="D6">
        <v>7354300</v>
      </c>
      <c r="E6" s="5">
        <v>792077915000</v>
      </c>
      <c r="F6">
        <v>0.64425923417758257</v>
      </c>
    </row>
    <row r="7" spans="1:6" x14ac:dyDescent="0.3">
      <c r="A7" t="s">
        <v>12</v>
      </c>
      <c r="B7">
        <v>1</v>
      </c>
      <c r="C7">
        <v>9297200</v>
      </c>
      <c r="D7">
        <v>5513700</v>
      </c>
      <c r="E7" s="5">
        <v>619026730000</v>
      </c>
      <c r="F7">
        <v>0.62772687682720163</v>
      </c>
    </row>
    <row r="8" spans="1:6" x14ac:dyDescent="0.3">
      <c r="A8" t="s">
        <v>11</v>
      </c>
      <c r="B8">
        <v>1</v>
      </c>
      <c r="C8">
        <v>1134600</v>
      </c>
      <c r="D8">
        <v>1080600</v>
      </c>
      <c r="E8" s="5">
        <v>149524910000</v>
      </c>
      <c r="F8">
        <v>0.51218851570964252</v>
      </c>
    </row>
    <row r="9" spans="1:6" x14ac:dyDescent="0.3">
      <c r="A9" t="s">
        <v>13</v>
      </c>
      <c r="B9">
        <v>1</v>
      </c>
      <c r="C9">
        <v>13407200</v>
      </c>
      <c r="D9">
        <v>12859900</v>
      </c>
      <c r="E9" s="5">
        <v>1698196810000</v>
      </c>
      <c r="F9">
        <v>0.51041797533797029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thắm phan</cp:lastModifiedBy>
  <dcterms:created xsi:type="dcterms:W3CDTF">2026-01-09T14:27:45Z</dcterms:created>
  <dcterms:modified xsi:type="dcterms:W3CDTF">2026-01-09T14:43:12Z</dcterms:modified>
</cp:coreProperties>
</file>